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6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Sheet1" sheetId="1" state="visible" r:id="rId3"/>
    <sheet name="Sheet2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<sst xmlns="http://schemas.openxmlformats.org/spreadsheetml/2006/main" count="48" uniqueCount="48">
  <si>
    <t xml:space="preserve">47mm basis</t>
  </si>
  <si>
    <t xml:space="preserve">57mm basis</t>
  </si>
  <si>
    <t xml:space="preserve">Reference pen</t>
  </si>
  <si>
    <t xml:space="preserve">Ref Velocity</t>
  </si>
  <si>
    <t xml:space="preserve">Ref Diameter</t>
  </si>
  <si>
    <t xml:space="preserve">Ref weight</t>
  </si>
  <si>
    <t xml:space="preserve">New Velocity</t>
  </si>
  <si>
    <t xml:space="preserve">New Diameter</t>
  </si>
  <si>
    <t xml:space="preserve">New Weight</t>
  </si>
  <si>
    <t xml:space="preserve">New Pen</t>
  </si>
  <si>
    <t xml:space="preserve">New Pen in inches</t>
  </si>
  <si>
    <t xml:space="preserve">EoaNBR Pen Constant (1 pen = =(7.7/14.12)")</t>
  </si>
  <si>
    <t xml:space="preserve">Pen Constant in mm</t>
  </si>
  <si>
    <t xml:space="preserve">New EoaNBR pen value</t>
  </si>
  <si>
    <t xml:space="preserve">hull</t>
  </si>
  <si>
    <t xml:space="preserve">HP</t>
  </si>
  <si>
    <t xml:space="preserve">lineship_0</t>
  </si>
  <si>
    <t xml:space="preserve">lineship_1</t>
  </si>
  <si>
    <t xml:space="preserve">ironclad_0</t>
  </si>
  <si>
    <t xml:space="preserve">ironclad_1</t>
  </si>
  <si>
    <t xml:space="preserve">ironclad_2</t>
  </si>
  <si>
    <t xml:space="preserve">ironclad_3</t>
  </si>
  <si>
    <t xml:space="preserve">ironclad_4</t>
  </si>
  <si>
    <t xml:space="preserve">ironclad_5</t>
  </si>
  <si>
    <t xml:space="preserve">frigate_0</t>
  </si>
  <si>
    <t xml:space="preserve">frigate_1</t>
  </si>
  <si>
    <t xml:space="preserve">intermediate_large_0</t>
  </si>
  <si>
    <t xml:space="preserve">intermediate_large_1</t>
  </si>
  <si>
    <t xml:space="preserve">intermediate_large_2</t>
  </si>
  <si>
    <t xml:space="preserve">gunboat_0</t>
  </si>
  <si>
    <t xml:space="preserve">gunboat_1</t>
  </si>
  <si>
    <t xml:space="preserve">monitor_0</t>
  </si>
  <si>
    <t xml:space="preserve">gunboat_2</t>
  </si>
  <si>
    <t xml:space="preserve">monitor_1</t>
  </si>
  <si>
    <t xml:space="preserve">gunboat_3</t>
  </si>
  <si>
    <t xml:space="preserve">gunboat_4</t>
  </si>
  <si>
    <t xml:space="preserve">intermediate_small_0</t>
  </si>
  <si>
    <t xml:space="preserve">monitor_2</t>
  </si>
  <si>
    <t xml:space="preserve">intermediate_small_1</t>
  </si>
  <si>
    <t xml:space="preserve">intermediate_small_2</t>
  </si>
  <si>
    <t xml:space="preserve">corvette_0</t>
  </si>
  <si>
    <t xml:space="preserve">corvette_1</t>
  </si>
  <si>
    <t xml:space="preserve">corvette_2</t>
  </si>
  <si>
    <t xml:space="preserve">corvette_3</t>
  </si>
  <si>
    <t xml:space="preserve">corvette_4</t>
  </si>
  <si>
    <t xml:space="preserve">tb_0</t>
  </si>
  <si>
    <t xml:space="preserve">tb_1</t>
  </si>
  <si>
    <t xml:space="preserve">tb_2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</si>
</sst>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29" activeCellId="0" sqref="K29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9.14"/>
    <col collapsed="false" customWidth="true" hidden="false" outlineLevel="0" max="2" min="2" style="0" width="11.85"/>
  </cols>
  <sheetData>
    <row r="1" customFormat="false" ht="15" hidden="false" customHeight="false" outlineLevel="0" collapsed="false">
      <c r="B1" s="0" t="s">
        <v>0</v>
      </c>
      <c r="C1" s="0" t="s">
        <v>1</v>
      </c>
    </row>
    <row r="2" customFormat="false" ht="15" hidden="false" customHeight="false" outlineLevel="0" collapsed="false">
      <c r="A2" s="0" t="s">
        <v>2</v>
      </c>
      <c r="B2" s="0" t="n">
        <v>46.123</v>
      </c>
      <c r="C2" s="0" t="n">
        <f aca="false">(B11)</f>
        <v>52.3122674496414</v>
      </c>
    </row>
    <row r="3" customFormat="false" ht="15" hidden="false" customHeight="false" outlineLevel="0" collapsed="false">
      <c r="A3" s="0" t="s">
        <v>3</v>
      </c>
      <c r="B3" s="0" t="n">
        <v>574</v>
      </c>
      <c r="C3" s="0" t="n">
        <v>538</v>
      </c>
    </row>
    <row r="4" customFormat="false" ht="15" hidden="false" customHeight="false" outlineLevel="0" collapsed="false">
      <c r="A4" s="0" t="s">
        <v>4</v>
      </c>
      <c r="B4" s="0" t="n">
        <v>47</v>
      </c>
      <c r="C4" s="0" t="n">
        <v>57</v>
      </c>
    </row>
    <row r="5" customFormat="false" ht="15" hidden="false" customHeight="false" outlineLevel="0" collapsed="false">
      <c r="A5" s="0" t="s">
        <v>5</v>
      </c>
      <c r="B5" s="0" t="n">
        <v>1.5</v>
      </c>
      <c r="C5" s="0" t="n">
        <v>2.72</v>
      </c>
    </row>
    <row r="7" customFormat="false" ht="15" hidden="false" customHeight="false" outlineLevel="0" collapsed="false">
      <c r="A7" s="0" t="s">
        <v>6</v>
      </c>
      <c r="B7" s="0" t="n">
        <v>538</v>
      </c>
      <c r="C7" s="0" t="n">
        <v>681</v>
      </c>
    </row>
    <row r="8" customFormat="false" ht="15" hidden="false" customHeight="false" outlineLevel="0" collapsed="false">
      <c r="A8" s="0" t="s">
        <v>7</v>
      </c>
      <c r="B8" s="0" t="n">
        <v>57</v>
      </c>
      <c r="C8" s="0" t="n">
        <v>75</v>
      </c>
    </row>
    <row r="9" customFormat="false" ht="15" hidden="false" customHeight="false" outlineLevel="0" collapsed="false">
      <c r="A9" s="0" t="s">
        <v>8</v>
      </c>
      <c r="B9" s="0" t="n">
        <v>2.72</v>
      </c>
      <c r="C9" s="0" t="n">
        <v>5.87</v>
      </c>
    </row>
    <row r="11" customFormat="false" ht="15" hidden="false" customHeight="false" outlineLevel="0" collapsed="false">
      <c r="A11" s="0" t="s">
        <v>9</v>
      </c>
      <c r="B11" s="0" t="n">
        <f aca="false">(B2*((B7/B3)^1.4283)*((B8/B4)^1.0714)*(((B9/(B8^3))^0.7143)/((B5/(B4^3))^0.7143)))</f>
        <v>52.3122674496414</v>
      </c>
      <c r="C11" s="0" t="n">
        <f aca="false">(C2*((C7/C3)^1.4283)*((C8/C4)^1.0714)*(((C9/(C8^3))^0.7143)/((C5/(C4^3))^0.7143)))</f>
        <v>94.5646091792767</v>
      </c>
    </row>
    <row r="12" customFormat="false" ht="15" hidden="false" customHeight="false" outlineLevel="0" collapsed="false">
      <c r="A12" s="0" t="s">
        <v>10</v>
      </c>
      <c r="B12" s="0" t="n">
        <f aca="false">(B11/25.4)</f>
        <v>2.05953808856856</v>
      </c>
      <c r="C12" s="0" t="n">
        <f aca="false">(C11/25.4)</f>
        <v>3.72301610942034</v>
      </c>
    </row>
    <row r="14" customFormat="false" ht="15" hidden="false" customHeight="false" outlineLevel="0" collapsed="false">
      <c r="A14" s="0" t="s">
        <v>11</v>
      </c>
      <c r="B14" s="0" t="n">
        <f aca="false">(7.7/14.12)</f>
        <v>0.545325779036827</v>
      </c>
      <c r="C14" s="0" t="n">
        <f aca="false">(7.7/14.12)</f>
        <v>0.545325779036827</v>
      </c>
    </row>
    <row r="15" customFormat="false" ht="15" hidden="false" customHeight="false" outlineLevel="0" collapsed="false">
      <c r="A15" s="0" t="s">
        <v>12</v>
      </c>
      <c r="B15" s="0" t="n">
        <f aca="false">(B14 * 25.4)</f>
        <v>13.8512747875354</v>
      </c>
      <c r="C15" s="0" t="n">
        <f aca="false">(C14 * 25.4)</f>
        <v>13.8512747875354</v>
      </c>
    </row>
    <row r="16" customFormat="false" ht="15" hidden="false" customHeight="false" outlineLevel="0" collapsed="false">
      <c r="A16" s="0" t="s">
        <v>13</v>
      </c>
      <c r="B16" s="0" t="n">
        <f aca="false">(B11 / B15)</f>
        <v>3.77671140397247</v>
      </c>
      <c r="C16" s="0" t="n">
        <f aca="false">(C11 / C15)</f>
        <v>6.82714122922276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N17" activeCellId="0" sqref="N17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19.48"/>
  </cols>
  <sheetData>
    <row r="1" customFormat="false" ht="13.8" hidden="false" customHeight="false" outlineLevel="0" collapsed="false">
      <c r="A1" s="0" t="s">
        <v>14</v>
      </c>
      <c r="B1" s="0" t="s">
        <v>15</v>
      </c>
    </row>
    <row r="2" customFormat="false" ht="13.8" hidden="false" customHeight="false" outlineLevel="0" collapsed="false">
      <c r="A2" s="0" t="s">
        <v>16</v>
      </c>
      <c r="B2" s="0" t="n">
        <v>125</v>
      </c>
    </row>
    <row r="3" customFormat="false" ht="13.8" hidden="false" customHeight="false" outlineLevel="0" collapsed="false">
      <c r="A3" s="0" t="s">
        <v>17</v>
      </c>
      <c r="B3" s="0" t="n">
        <v>150</v>
      </c>
    </row>
    <row r="4" customFormat="false" ht="13.8" hidden="false" customHeight="false" outlineLevel="0" collapsed="false">
      <c r="A4" s="0" t="s">
        <v>18</v>
      </c>
      <c r="B4" s="0" t="n">
        <v>130</v>
      </c>
    </row>
    <row r="5" customFormat="false" ht="13.8" hidden="false" customHeight="false" outlineLevel="0" collapsed="false">
      <c r="A5" s="0" t="s">
        <v>19</v>
      </c>
      <c r="B5" s="0" t="n">
        <v>140</v>
      </c>
    </row>
    <row r="6" customFormat="false" ht="13.8" hidden="false" customHeight="false" outlineLevel="0" collapsed="false">
      <c r="A6" s="0" t="s">
        <v>20</v>
      </c>
      <c r="B6" s="0" t="n">
        <v>150</v>
      </c>
    </row>
    <row r="7" customFormat="false" ht="13.8" hidden="false" customHeight="false" outlineLevel="0" collapsed="false">
      <c r="A7" s="0" t="s">
        <v>21</v>
      </c>
      <c r="B7" s="0" t="n">
        <v>165</v>
      </c>
    </row>
    <row r="8" customFormat="false" ht="13.8" hidden="false" customHeight="false" outlineLevel="0" collapsed="false">
      <c r="A8" s="0" t="s">
        <v>22</v>
      </c>
      <c r="B8" s="0" t="n">
        <v>200</v>
      </c>
    </row>
    <row r="9" customFormat="false" ht="13.8" hidden="false" customHeight="false" outlineLevel="0" collapsed="false">
      <c r="A9" s="0" t="s">
        <v>23</v>
      </c>
      <c r="B9" s="0" t="n">
        <v>220</v>
      </c>
    </row>
    <row r="11" customFormat="false" ht="13.8" hidden="false" customHeight="false" outlineLevel="0" collapsed="false">
      <c r="A11" s="0" t="s">
        <v>24</v>
      </c>
      <c r="B11" s="0" t="n">
        <v>100</v>
      </c>
    </row>
    <row r="12" customFormat="false" ht="13.8" hidden="false" customHeight="false" outlineLevel="0" collapsed="false">
      <c r="A12" s="0" t="s">
        <v>25</v>
      </c>
      <c r="B12" s="0" t="n">
        <v>120</v>
      </c>
    </row>
    <row r="13" customFormat="false" ht="13.8" hidden="false" customHeight="false" outlineLevel="0" collapsed="false">
      <c r="A13" s="0" t="s">
        <v>26</v>
      </c>
      <c r="B13" s="0" t="n">
        <v>120</v>
      </c>
    </row>
    <row r="14" customFormat="false" ht="13.8" hidden="false" customHeight="false" outlineLevel="0" collapsed="false">
      <c r="A14" s="0" t="s">
        <v>27</v>
      </c>
      <c r="B14" s="0" t="n">
        <v>121</v>
      </c>
    </row>
    <row r="15" customFormat="false" ht="13.8" hidden="false" customHeight="false" outlineLevel="0" collapsed="false">
      <c r="A15" s="0" t="s">
        <v>28</v>
      </c>
      <c r="B15" s="0" t="n">
        <v>122</v>
      </c>
    </row>
    <row r="17" customFormat="false" ht="13.8" hidden="false" customHeight="false" outlineLevel="0" collapsed="false">
      <c r="A17" s="0" t="s">
        <v>29</v>
      </c>
      <c r="B17" s="0" t="n">
        <v>40</v>
      </c>
    </row>
    <row r="18" customFormat="false" ht="13.8" hidden="false" customHeight="false" outlineLevel="0" collapsed="false">
      <c r="A18" s="0" t="s">
        <v>30</v>
      </c>
      <c r="B18" s="0" t="n">
        <v>45</v>
      </c>
    </row>
    <row r="19" customFormat="false" ht="13.8" hidden="false" customHeight="false" outlineLevel="0" collapsed="false">
      <c r="A19" s="0" t="s">
        <v>31</v>
      </c>
      <c r="B19" s="0" t="n">
        <v>50</v>
      </c>
    </row>
    <row r="20" customFormat="false" ht="13.8" hidden="false" customHeight="false" outlineLevel="0" collapsed="false">
      <c r="A20" s="0" t="s">
        <v>32</v>
      </c>
      <c r="B20" s="0" t="n">
        <v>50</v>
      </c>
    </row>
    <row r="21" customFormat="false" ht="13.8" hidden="false" customHeight="false" outlineLevel="0" collapsed="false">
      <c r="A21" s="0" t="s">
        <v>33</v>
      </c>
      <c r="B21" s="0" t="n">
        <v>52</v>
      </c>
    </row>
    <row r="22" customFormat="false" ht="13.8" hidden="false" customHeight="false" outlineLevel="0" collapsed="false">
      <c r="A22" s="0" t="s">
        <v>34</v>
      </c>
      <c r="B22" s="0" t="n">
        <v>60</v>
      </c>
    </row>
    <row r="23" customFormat="false" ht="13.8" hidden="false" customHeight="false" outlineLevel="0" collapsed="false">
      <c r="A23" s="0" t="s">
        <v>35</v>
      </c>
      <c r="B23" s="0" t="n">
        <v>65</v>
      </c>
    </row>
    <row r="24" customFormat="false" ht="13.8" hidden="false" customHeight="false" outlineLevel="0" collapsed="false">
      <c r="A24" s="0" t="s">
        <v>36</v>
      </c>
      <c r="B24" s="0" t="n">
        <v>65</v>
      </c>
    </row>
    <row r="25" customFormat="false" ht="13.8" hidden="false" customHeight="false" outlineLevel="0" collapsed="false">
      <c r="A25" s="0" t="s">
        <v>37</v>
      </c>
      <c r="B25" s="0" t="n">
        <v>55</v>
      </c>
    </row>
    <row r="26" customFormat="false" ht="13.8" hidden="false" customHeight="false" outlineLevel="0" collapsed="false">
      <c r="A26" s="0" t="s">
        <v>38</v>
      </c>
      <c r="B26" s="0" t="n">
        <v>70</v>
      </c>
    </row>
    <row r="27" customFormat="false" ht="13.8" hidden="false" customHeight="false" outlineLevel="0" collapsed="false">
      <c r="A27" s="0" t="s">
        <v>39</v>
      </c>
      <c r="B27" s="0" t="n">
        <v>80</v>
      </c>
    </row>
    <row r="29" customFormat="false" ht="13.8" hidden="false" customHeight="false" outlineLevel="0" collapsed="false">
      <c r="A29" s="0" t="s">
        <v>40</v>
      </c>
      <c r="B29" s="0" t="n">
        <v>15</v>
      </c>
    </row>
    <row r="30" customFormat="false" ht="13.8" hidden="false" customHeight="false" outlineLevel="0" collapsed="false">
      <c r="A30" s="0" t="s">
        <v>41</v>
      </c>
      <c r="B30" s="0" t="n">
        <v>18</v>
      </c>
    </row>
    <row r="31" customFormat="false" ht="13.8" hidden="false" customHeight="false" outlineLevel="0" collapsed="false">
      <c r="A31" s="0" t="s">
        <v>42</v>
      </c>
      <c r="B31" s="0" t="n">
        <v>22</v>
      </c>
    </row>
    <row r="32" customFormat="false" ht="13.8" hidden="false" customHeight="false" outlineLevel="0" collapsed="false">
      <c r="A32" s="0" t="s">
        <v>43</v>
      </c>
      <c r="B32" s="0" t="n">
        <v>25</v>
      </c>
    </row>
    <row r="33" customFormat="false" ht="13.8" hidden="false" customHeight="false" outlineLevel="0" collapsed="false">
      <c r="A33" s="0" t="s">
        <v>44</v>
      </c>
      <c r="B33" s="0" t="n">
        <v>30</v>
      </c>
    </row>
    <row r="34" customFormat="false" ht="13.8" hidden="false" customHeight="false" outlineLevel="0" collapsed="false">
      <c r="A34" s="0" t="s">
        <v>45</v>
      </c>
      <c r="B34" s="0" t="n">
        <v>9</v>
      </c>
    </row>
    <row r="35" customFormat="false" ht="13.8" hidden="false" customHeight="false" outlineLevel="0" collapsed="false">
      <c r="A35" s="0" t="s">
        <v>46</v>
      </c>
      <c r="B35" s="0" t="n">
        <v>17</v>
      </c>
    </row>
    <row r="36" customFormat="false" ht="13.8" hidden="false" customHeight="false" outlineLevel="0" collapsed="false">
      <c r="A36" s="0" t="s">
        <v>47</v>
      </c>
      <c r="B36" s="0" t="n">
        <v>18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290</TotalTime>
  <Application>LibreOffice/26.2.2.2$Windows_X86_64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2024-11-19T14:24:21Z</dcterms:created>
  <dc:creator>Nathaniel Tebb</dc:creator>
  <dc:description/>
  <dc:language>en-US</dc:language>
  <cp:lastModifiedBy/>
  <dcterms:modified xsi:type="dcterms:W3CDTF">2026-07-10T16:56:44Z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